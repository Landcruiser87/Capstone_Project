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repo\CapstoneA\analysis\"/>
    </mc:Choice>
  </mc:AlternateContent>
  <xr:revisionPtr revIDLastSave="0" documentId="13_ncr:1_{F7D04DB2-7C08-46E8-A6B7-8AF958A04CFD}" xr6:coauthVersionLast="45" xr6:coauthVersionMax="45" xr10:uidLastSave="{00000000-0000-0000-0000-000000000000}"/>
  <bookViews>
    <workbookView xWindow="41820" yWindow="465" windowWidth="22095" windowHeight="12165" xr2:uid="{101C9D25-FBFA-4BC2-85D7-F192E78CD9A0}"/>
  </bookViews>
  <sheets>
    <sheet name="subject" sheetId="1" r:id="rId1"/>
  </sheets>
  <definedNames>
    <definedName name="_xlnm._FilterDatabase" localSheetId="0" hidden="1">subject!$A$1:$T$23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3" i="1" l="1"/>
  <c r="N22" i="1"/>
  <c r="N21" i="1"/>
  <c r="O23" i="1" l="1"/>
  <c r="P23" i="1"/>
  <c r="Q23" i="1" l="1"/>
  <c r="O22" i="1"/>
  <c r="P22" i="1"/>
  <c r="M21" i="1"/>
  <c r="O21" i="1"/>
  <c r="P2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Q15" i="1"/>
  <c r="N16" i="1"/>
  <c r="O16" i="1"/>
  <c r="P16" i="1"/>
  <c r="Q16" i="1"/>
  <c r="N17" i="1"/>
  <c r="O17" i="1"/>
  <c r="P17" i="1"/>
  <c r="Q17" i="1"/>
  <c r="N18" i="1"/>
  <c r="O18" i="1"/>
  <c r="P18" i="1"/>
  <c r="N19" i="1"/>
  <c r="Q19" i="1" s="1"/>
  <c r="O19" i="1"/>
  <c r="P19" i="1"/>
  <c r="N20" i="1"/>
  <c r="O20" i="1"/>
  <c r="P20" i="1"/>
  <c r="N10" i="1"/>
  <c r="Q10" i="1" s="1"/>
  <c r="O10" i="1"/>
  <c r="P10" i="1"/>
  <c r="Q13" i="1" l="1"/>
  <c r="Q20" i="1"/>
  <c r="Q12" i="1"/>
  <c r="Q21" i="1"/>
  <c r="Q11" i="1"/>
  <c r="Q18" i="1"/>
  <c r="Q14" i="1"/>
  <c r="Q22" i="1"/>
  <c r="O3" i="1"/>
  <c r="O4" i="1"/>
  <c r="O5" i="1"/>
  <c r="O6" i="1"/>
  <c r="O7" i="1"/>
  <c r="O8" i="1"/>
  <c r="O9" i="1"/>
  <c r="O2" i="1"/>
  <c r="N3" i="1"/>
  <c r="P3" i="1"/>
  <c r="N4" i="1"/>
  <c r="Q4" i="1" s="1"/>
  <c r="P4" i="1"/>
  <c r="N5" i="1"/>
  <c r="P5" i="1"/>
  <c r="Q5" i="1"/>
  <c r="N6" i="1"/>
  <c r="Q6" i="1" s="1"/>
  <c r="P6" i="1"/>
  <c r="N7" i="1"/>
  <c r="Q7" i="1" s="1"/>
  <c r="P7" i="1"/>
  <c r="N8" i="1"/>
  <c r="P8" i="1"/>
  <c r="N9" i="1"/>
  <c r="Q9" i="1" s="1"/>
  <c r="P9" i="1"/>
  <c r="N2" i="1"/>
  <c r="P2" i="1"/>
  <c r="Q2" i="1" l="1"/>
  <c r="Q8" i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tc={4CF3B269-D614-49F4-BEB2-881ADCBDCC00}</author>
  </authors>
  <commentList>
    <comment ref="L3" authorId="0" shapeId="0" xr:uid="{4CF3B269-D614-49F4-BEB2-881ADCBDCC00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Sensors got switched.  Can't use data</t>
      </text>
    </comment>
  </commentList>
</comments>
</file>

<file path=xl/sharedStrings.xml><?xml version="1.0" encoding="utf-8"?>
<sst xmlns="http://schemas.openxmlformats.org/spreadsheetml/2006/main" count="109" uniqueCount="83">
  <si>
    <t>Name</t>
  </si>
  <si>
    <t>Height</t>
  </si>
  <si>
    <t>Gender</t>
  </si>
  <si>
    <t>Session</t>
  </si>
  <si>
    <t>Exercise</t>
  </si>
  <si>
    <t>Num of Exercise</t>
  </si>
  <si>
    <t>Age</t>
  </si>
  <si>
    <t>Date</t>
  </si>
  <si>
    <t>Time</t>
  </si>
  <si>
    <t>Mike Gerdes</t>
  </si>
  <si>
    <t>6'5"</t>
  </si>
  <si>
    <t>Male</t>
  </si>
  <si>
    <t>Cody Smith</t>
  </si>
  <si>
    <t>5'10"</t>
  </si>
  <si>
    <t>5:45am</t>
  </si>
  <si>
    <t>6:00am</t>
  </si>
  <si>
    <t>Andy Heroy</t>
  </si>
  <si>
    <t>6'</t>
  </si>
  <si>
    <t>5'6"</t>
  </si>
  <si>
    <t>Female</t>
  </si>
  <si>
    <t>6:50am</t>
  </si>
  <si>
    <t>Kate Len</t>
  </si>
  <si>
    <t>Cameron Tietgen</t>
  </si>
  <si>
    <t>6'4"</t>
  </si>
  <si>
    <t>Mark G</t>
  </si>
  <si>
    <t>6'2"</t>
  </si>
  <si>
    <t>Cindy</t>
  </si>
  <si>
    <t>5:45pm</t>
  </si>
  <si>
    <t>4:50pm</t>
  </si>
  <si>
    <t>5:00pm</t>
  </si>
  <si>
    <t>5:10pm</t>
  </si>
  <si>
    <t>5:15pm</t>
  </si>
  <si>
    <t>Caitlin Morrow</t>
  </si>
  <si>
    <t>exercise ID</t>
  </si>
  <si>
    <t>airsquat</t>
  </si>
  <si>
    <t>kb swing</t>
  </si>
  <si>
    <t>jumping jacks</t>
  </si>
  <si>
    <t>5'8"</t>
  </si>
  <si>
    <t>5'7"</t>
  </si>
  <si>
    <t>Exercise_id</t>
  </si>
  <si>
    <t>exercise_amt</t>
  </si>
  <si>
    <t>session_id</t>
  </si>
  <si>
    <t>subject_id</t>
  </si>
  <si>
    <t>CombinedFileID</t>
  </si>
  <si>
    <t>DataDrop</t>
  </si>
  <si>
    <t>Ramin Hosseinadad</t>
  </si>
  <si>
    <t>8:30am</t>
  </si>
  <si>
    <t>Paul Carnarsky</t>
  </si>
  <si>
    <t>Loren Peterson</t>
  </si>
  <si>
    <t>5'9"</t>
  </si>
  <si>
    <t xml:space="preserve">Male </t>
  </si>
  <si>
    <t>Spencer Lamer</t>
  </si>
  <si>
    <t>6'0"</t>
  </si>
  <si>
    <t>Lindsay Rodysill</t>
  </si>
  <si>
    <t>Sam</t>
  </si>
  <si>
    <t>Emalie Petersen</t>
  </si>
  <si>
    <t>5'2"</t>
  </si>
  <si>
    <t>Jb newell</t>
  </si>
  <si>
    <t>Colin Maher</t>
  </si>
  <si>
    <t>5'5"</t>
  </si>
  <si>
    <t>Wade Bartels</t>
  </si>
  <si>
    <t>5'11"</t>
  </si>
  <si>
    <t>9:00am</t>
  </si>
  <si>
    <t>9:30am</t>
  </si>
  <si>
    <t>9:35am</t>
  </si>
  <si>
    <t>9:40am</t>
  </si>
  <si>
    <t>9:45am</t>
  </si>
  <si>
    <t>Jess Zaruba</t>
  </si>
  <si>
    <t>11:13am</t>
  </si>
  <si>
    <t>9:55am</t>
  </si>
  <si>
    <t>10:35am</t>
  </si>
  <si>
    <t>10:15am</t>
  </si>
  <si>
    <t>10:05am</t>
  </si>
  <si>
    <t>Rachel hayes</t>
  </si>
  <si>
    <t>5'1"</t>
  </si>
  <si>
    <t>Theresa Brodeur</t>
  </si>
  <si>
    <t>5'3"</t>
  </si>
  <si>
    <t>Mackensie Minniear</t>
  </si>
  <si>
    <t>AQ_Rate (HZ)</t>
  </si>
  <si>
    <t>11:27am</t>
  </si>
  <si>
    <t>11:34am</t>
  </si>
  <si>
    <t>11:45am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</si>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</sst>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ndy Heroy" id="{0A942259-62E3-4B62-8CB2-D0C7C9DB445C}" userId="5fddb5fc8850146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" dT="2019-11-26T12:44:58.81" personId="{0A942259-62E3-4B62-8CB2-D0C7C9DB445C}" id="{4CF3B269-D614-49F4-BEB2-881ADCBDCC00}">
    <text>Sensors got switched.  Can't use data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AE511-59F3-4B61-9C18-2345EF4993F1}">
  <dimension ref="A1:T23"/>
  <sheetViews>
    <sheetView tabSelected="1" workbookViewId="0">
      <selection activeCell="B9" sqref="B9"/>
    </sheetView>
  </sheetViews>
  <sheetFormatPr defaultRowHeight="14.25" x14ac:dyDescent="0.45"/>
  <cols>
    <col min="2" max="2" width="16.19921875" customWidth="1"/>
    <col min="3" max="5" width="9.06640625" customWidth="1"/>
    <col min="8" max="9" width="14.1328125" customWidth="1"/>
    <col min="10" max="10" width="11.1328125" customWidth="1"/>
    <col min="14" max="14" width="12.19921875" bestFit="1" customWidth="1"/>
    <col min="15" max="15" width="11.9296875" bestFit="1" customWidth="1"/>
    <col min="16" max="16" width="9.53125" bestFit="1" customWidth="1"/>
    <col min="17" max="17" width="14.33203125" bestFit="1" customWidth="1"/>
  </cols>
  <sheetData>
    <row r="1" spans="1:20" x14ac:dyDescent="0.45">
      <c r="A1" t="s">
        <v>82</v>
      </c>
      <c r="B1" t="s">
        <v>0</v>
      </c>
      <c r="C1" t="s">
        <v>1</v>
      </c>
      <c r="D1" t="s">
        <v>2</v>
      </c>
      <c r="E1" t="s">
        <v>6</v>
      </c>
      <c r="F1" t="s">
        <v>3</v>
      </c>
      <c r="G1" t="s">
        <v>4</v>
      </c>
      <c r="H1" t="s">
        <v>5</v>
      </c>
      <c r="I1" t="s">
        <v>78</v>
      </c>
      <c r="J1" t="s">
        <v>7</v>
      </c>
      <c r="K1" t="s">
        <v>8</v>
      </c>
      <c r="L1" t="s">
        <v>44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</row>
    <row r="2" spans="1:20" x14ac:dyDescent="0.45">
      <c r="A2">
        <v>1</v>
      </c>
      <c r="B2" t="s">
        <v>16</v>
      </c>
      <c r="C2" t="s">
        <v>17</v>
      </c>
      <c r="D2" t="s">
        <v>11</v>
      </c>
      <c r="E2">
        <v>37</v>
      </c>
      <c r="F2">
        <v>4</v>
      </c>
      <c r="G2">
        <v>1</v>
      </c>
      <c r="H2">
        <v>25</v>
      </c>
      <c r="I2">
        <v>400</v>
      </c>
      <c r="J2" s="1">
        <v>43795</v>
      </c>
      <c r="K2" t="s">
        <v>27</v>
      </c>
      <c r="M2">
        <f>G2</f>
        <v>1</v>
      </c>
      <c r="N2">
        <f>H2</f>
        <v>25</v>
      </c>
      <c r="O2">
        <f>F2</f>
        <v>4</v>
      </c>
      <c r="P2">
        <f>A2</f>
        <v>1</v>
      </c>
      <c r="Q2" t="str">
        <f>CONCATENATE(M2&amp;"_",N2&amp;"_",O2&amp;"_",P2)</f>
        <v>1_25_4_1</v>
      </c>
      <c r="S2" t="s">
        <v>33</v>
      </c>
    </row>
    <row r="3" spans="1:20" x14ac:dyDescent="0.45">
      <c r="A3">
        <v>2</v>
      </c>
      <c r="B3" t="s">
        <v>9</v>
      </c>
      <c r="C3" t="s">
        <v>10</v>
      </c>
      <c r="D3" t="s">
        <v>11</v>
      </c>
      <c r="E3">
        <v>37</v>
      </c>
      <c r="F3">
        <v>4</v>
      </c>
      <c r="G3">
        <v>1</v>
      </c>
      <c r="H3">
        <v>25</v>
      </c>
      <c r="I3">
        <v>400</v>
      </c>
      <c r="J3" s="1">
        <v>43795</v>
      </c>
      <c r="K3" t="s">
        <v>14</v>
      </c>
      <c r="L3" s="2"/>
      <c r="M3">
        <f t="shared" ref="M3:M21" si="0">G3</f>
        <v>1</v>
      </c>
      <c r="N3">
        <f t="shared" ref="N3:N10" si="1">H3</f>
        <v>25</v>
      </c>
      <c r="O3">
        <f t="shared" ref="O3:O10" si="2">F3</f>
        <v>4</v>
      </c>
      <c r="P3">
        <f t="shared" ref="P3:P10" si="3">A3</f>
        <v>2</v>
      </c>
      <c r="Q3" t="str">
        <f t="shared" ref="Q3:Q10" si="4">CONCATENATE(M3&amp;"_",N3&amp;"_",O3&amp;"_",P3)</f>
        <v>1_25_4_2</v>
      </c>
      <c r="S3" t="s">
        <v>36</v>
      </c>
      <c r="T3">
        <v>1</v>
      </c>
    </row>
    <row r="4" spans="1:20" x14ac:dyDescent="0.45">
      <c r="A4">
        <v>3</v>
      </c>
      <c r="B4" t="s">
        <v>12</v>
      </c>
      <c r="C4" t="s">
        <v>13</v>
      </c>
      <c r="D4" t="s">
        <v>11</v>
      </c>
      <c r="E4">
        <v>32</v>
      </c>
      <c r="F4">
        <v>4</v>
      </c>
      <c r="G4">
        <v>1</v>
      </c>
      <c r="H4">
        <v>25</v>
      </c>
      <c r="I4">
        <v>400</v>
      </c>
      <c r="J4" s="1">
        <v>43795</v>
      </c>
      <c r="K4" t="s">
        <v>15</v>
      </c>
      <c r="L4" s="2"/>
      <c r="M4">
        <f t="shared" si="0"/>
        <v>1</v>
      </c>
      <c r="N4">
        <f t="shared" si="1"/>
        <v>25</v>
      </c>
      <c r="O4">
        <f t="shared" si="2"/>
        <v>4</v>
      </c>
      <c r="P4">
        <f t="shared" si="3"/>
        <v>3</v>
      </c>
      <c r="Q4" t="str">
        <f t="shared" si="4"/>
        <v>1_25_4_3</v>
      </c>
      <c r="S4" t="s">
        <v>34</v>
      </c>
      <c r="T4">
        <v>2</v>
      </c>
    </row>
    <row r="5" spans="1:20" x14ac:dyDescent="0.45">
      <c r="A5">
        <v>4</v>
      </c>
      <c r="B5" t="s">
        <v>21</v>
      </c>
      <c r="C5" t="s">
        <v>18</v>
      </c>
      <c r="D5" t="s">
        <v>19</v>
      </c>
      <c r="E5">
        <v>36</v>
      </c>
      <c r="F5">
        <v>4</v>
      </c>
      <c r="G5">
        <v>1</v>
      </c>
      <c r="H5">
        <v>25</v>
      </c>
      <c r="I5">
        <v>400</v>
      </c>
      <c r="J5" s="1">
        <v>43795</v>
      </c>
      <c r="K5" t="s">
        <v>20</v>
      </c>
      <c r="M5">
        <f t="shared" si="0"/>
        <v>1</v>
      </c>
      <c r="N5">
        <f t="shared" si="1"/>
        <v>25</v>
      </c>
      <c r="O5">
        <f t="shared" si="2"/>
        <v>4</v>
      </c>
      <c r="P5">
        <f t="shared" si="3"/>
        <v>4</v>
      </c>
      <c r="Q5" t="str">
        <f t="shared" si="4"/>
        <v>1_25_4_4</v>
      </c>
      <c r="S5" t="s">
        <v>35</v>
      </c>
      <c r="T5">
        <v>3</v>
      </c>
    </row>
    <row r="6" spans="1:20" x14ac:dyDescent="0.45">
      <c r="A6">
        <v>5</v>
      </c>
      <c r="B6" t="s">
        <v>22</v>
      </c>
      <c r="C6" t="s">
        <v>23</v>
      </c>
      <c r="D6" t="s">
        <v>11</v>
      </c>
      <c r="E6">
        <v>37</v>
      </c>
      <c r="F6">
        <v>4</v>
      </c>
      <c r="G6">
        <v>1</v>
      </c>
      <c r="H6">
        <v>25</v>
      </c>
      <c r="I6">
        <v>400</v>
      </c>
      <c r="J6" s="1">
        <v>43795</v>
      </c>
      <c r="K6" t="s">
        <v>28</v>
      </c>
      <c r="M6">
        <f t="shared" si="0"/>
        <v>1</v>
      </c>
      <c r="N6">
        <f t="shared" si="1"/>
        <v>25</v>
      </c>
      <c r="O6">
        <f t="shared" si="2"/>
        <v>4</v>
      </c>
      <c r="P6">
        <f t="shared" si="3"/>
        <v>5</v>
      </c>
      <c r="Q6" t="str">
        <f t="shared" si="4"/>
        <v>1_25_4_5</v>
      </c>
    </row>
    <row r="7" spans="1:20" x14ac:dyDescent="0.45">
      <c r="A7">
        <v>6</v>
      </c>
      <c r="B7" t="s">
        <v>24</v>
      </c>
      <c r="C7" t="s">
        <v>25</v>
      </c>
      <c r="D7" t="s">
        <v>11</v>
      </c>
      <c r="E7">
        <v>36</v>
      </c>
      <c r="F7">
        <v>4</v>
      </c>
      <c r="G7">
        <v>1</v>
      </c>
      <c r="H7">
        <v>25</v>
      </c>
      <c r="I7">
        <v>400</v>
      </c>
      <c r="J7" s="1">
        <v>43795</v>
      </c>
      <c r="K7" t="s">
        <v>29</v>
      </c>
      <c r="M7">
        <f t="shared" si="0"/>
        <v>1</v>
      </c>
      <c r="N7">
        <f t="shared" si="1"/>
        <v>25</v>
      </c>
      <c r="O7">
        <f t="shared" si="2"/>
        <v>4</v>
      </c>
      <c r="P7">
        <f t="shared" si="3"/>
        <v>6</v>
      </c>
      <c r="Q7" t="str">
        <f t="shared" si="4"/>
        <v>1_25_4_6</v>
      </c>
    </row>
    <row r="8" spans="1:20" x14ac:dyDescent="0.45">
      <c r="A8">
        <v>7</v>
      </c>
      <c r="B8" t="s">
        <v>26</v>
      </c>
      <c r="C8" t="s">
        <v>37</v>
      </c>
      <c r="D8" t="s">
        <v>19</v>
      </c>
      <c r="E8">
        <v>44</v>
      </c>
      <c r="F8">
        <v>4</v>
      </c>
      <c r="G8">
        <v>1</v>
      </c>
      <c r="H8">
        <v>25</v>
      </c>
      <c r="I8">
        <v>400</v>
      </c>
      <c r="J8" s="1">
        <v>43795</v>
      </c>
      <c r="K8" t="s">
        <v>30</v>
      </c>
      <c r="M8">
        <f t="shared" si="0"/>
        <v>1</v>
      </c>
      <c r="N8">
        <f t="shared" si="1"/>
        <v>25</v>
      </c>
      <c r="O8">
        <f t="shared" si="2"/>
        <v>4</v>
      </c>
      <c r="P8">
        <f t="shared" si="3"/>
        <v>7</v>
      </c>
      <c r="Q8" t="str">
        <f t="shared" si="4"/>
        <v>1_25_4_7</v>
      </c>
    </row>
    <row r="9" spans="1:20" x14ac:dyDescent="0.45">
      <c r="A9">
        <v>8</v>
      </c>
      <c r="B9" t="s">
        <v>32</v>
      </c>
      <c r="C9" t="s">
        <v>38</v>
      </c>
      <c r="D9" t="s">
        <v>19</v>
      </c>
      <c r="E9">
        <v>27</v>
      </c>
      <c r="F9">
        <v>4</v>
      </c>
      <c r="G9">
        <v>1</v>
      </c>
      <c r="H9">
        <v>25</v>
      </c>
      <c r="I9">
        <v>400</v>
      </c>
      <c r="J9" s="1">
        <v>43795</v>
      </c>
      <c r="K9" t="s">
        <v>31</v>
      </c>
      <c r="M9">
        <f t="shared" si="0"/>
        <v>1</v>
      </c>
      <c r="N9">
        <f t="shared" si="1"/>
        <v>25</v>
      </c>
      <c r="O9">
        <f t="shared" si="2"/>
        <v>4</v>
      </c>
      <c r="P9">
        <f t="shared" si="3"/>
        <v>8</v>
      </c>
      <c r="Q9" t="str">
        <f t="shared" si="4"/>
        <v>1_25_4_8</v>
      </c>
    </row>
    <row r="10" spans="1:20" x14ac:dyDescent="0.45">
      <c r="A10">
        <v>9</v>
      </c>
      <c r="B10" t="s">
        <v>45</v>
      </c>
      <c r="C10" t="s">
        <v>25</v>
      </c>
      <c r="D10" t="s">
        <v>11</v>
      </c>
      <c r="E10">
        <v>30</v>
      </c>
      <c r="F10">
        <v>5</v>
      </c>
      <c r="G10">
        <v>1</v>
      </c>
      <c r="H10">
        <v>25</v>
      </c>
      <c r="I10">
        <v>400</v>
      </c>
      <c r="J10" s="1">
        <v>43796</v>
      </c>
      <c r="K10" t="s">
        <v>46</v>
      </c>
      <c r="M10">
        <f t="shared" si="0"/>
        <v>1</v>
      </c>
      <c r="N10">
        <f t="shared" si="1"/>
        <v>25</v>
      </c>
      <c r="O10">
        <f t="shared" si="2"/>
        <v>5</v>
      </c>
      <c r="P10">
        <f t="shared" si="3"/>
        <v>9</v>
      </c>
      <c r="Q10" t="str">
        <f t="shared" si="4"/>
        <v>1_25_5_9</v>
      </c>
    </row>
    <row r="11" spans="1:20" x14ac:dyDescent="0.45">
      <c r="A11">
        <v>10</v>
      </c>
      <c r="B11" t="s">
        <v>47</v>
      </c>
      <c r="C11" t="s">
        <v>13</v>
      </c>
      <c r="D11" t="s">
        <v>11</v>
      </c>
      <c r="E11">
        <v>31</v>
      </c>
      <c r="F11">
        <v>5</v>
      </c>
      <c r="G11">
        <v>1</v>
      </c>
      <c r="H11">
        <v>25</v>
      </c>
      <c r="I11">
        <v>400</v>
      </c>
      <c r="J11" s="1">
        <v>43796</v>
      </c>
      <c r="K11" t="s">
        <v>62</v>
      </c>
      <c r="M11">
        <f t="shared" si="0"/>
        <v>1</v>
      </c>
      <c r="N11">
        <f t="shared" ref="N11:N23" si="5">H11</f>
        <v>25</v>
      </c>
      <c r="O11">
        <f t="shared" ref="O11:O23" si="6">F11</f>
        <v>5</v>
      </c>
      <c r="P11">
        <f t="shared" ref="P11:P23" si="7">A11</f>
        <v>10</v>
      </c>
      <c r="Q11" t="str">
        <f t="shared" ref="Q11:Q23" si="8">CONCATENATE(M11&amp;"_",N11&amp;"_",O11&amp;"_",P11)</f>
        <v>1_25_5_10</v>
      </c>
    </row>
    <row r="12" spans="1:20" x14ac:dyDescent="0.45">
      <c r="A12">
        <v>11</v>
      </c>
      <c r="B12" t="s">
        <v>48</v>
      </c>
      <c r="C12" t="s">
        <v>49</v>
      </c>
      <c r="D12" t="s">
        <v>50</v>
      </c>
      <c r="E12">
        <v>27</v>
      </c>
      <c r="F12">
        <v>5</v>
      </c>
      <c r="G12">
        <v>1</v>
      </c>
      <c r="H12">
        <v>25</v>
      </c>
      <c r="I12">
        <v>400</v>
      </c>
      <c r="J12" s="1">
        <v>43796</v>
      </c>
      <c r="K12" t="s">
        <v>63</v>
      </c>
      <c r="M12">
        <f t="shared" si="0"/>
        <v>1</v>
      </c>
      <c r="N12">
        <f t="shared" si="5"/>
        <v>25</v>
      </c>
      <c r="O12">
        <f t="shared" si="6"/>
        <v>5</v>
      </c>
      <c r="P12">
        <f t="shared" si="7"/>
        <v>11</v>
      </c>
      <c r="Q12" t="str">
        <f t="shared" si="8"/>
        <v>1_25_5_11</v>
      </c>
    </row>
    <row r="13" spans="1:20" x14ac:dyDescent="0.45">
      <c r="A13">
        <v>12</v>
      </c>
      <c r="B13" t="s">
        <v>51</v>
      </c>
      <c r="C13" t="s">
        <v>52</v>
      </c>
      <c r="D13" t="s">
        <v>11</v>
      </c>
      <c r="E13">
        <v>26</v>
      </c>
      <c r="F13">
        <v>5</v>
      </c>
      <c r="G13">
        <v>1</v>
      </c>
      <c r="H13">
        <v>25</v>
      </c>
      <c r="I13">
        <v>400</v>
      </c>
      <c r="J13" s="1">
        <v>43796</v>
      </c>
      <c r="K13" t="s">
        <v>64</v>
      </c>
      <c r="M13">
        <f t="shared" si="0"/>
        <v>1</v>
      </c>
      <c r="N13">
        <f t="shared" si="5"/>
        <v>25</v>
      </c>
      <c r="O13">
        <f t="shared" si="6"/>
        <v>5</v>
      </c>
      <c r="P13">
        <f t="shared" si="7"/>
        <v>12</v>
      </c>
      <c r="Q13" t="str">
        <f t="shared" si="8"/>
        <v>1_25_5_12</v>
      </c>
    </row>
    <row r="14" spans="1:20" x14ac:dyDescent="0.45">
      <c r="A14">
        <v>13</v>
      </c>
      <c r="B14" t="s">
        <v>53</v>
      </c>
      <c r="C14" t="s">
        <v>18</v>
      </c>
      <c r="D14" t="s">
        <v>19</v>
      </c>
      <c r="E14">
        <v>37</v>
      </c>
      <c r="F14">
        <v>5</v>
      </c>
      <c r="G14">
        <v>1</v>
      </c>
      <c r="H14">
        <v>25</v>
      </c>
      <c r="I14">
        <v>400</v>
      </c>
      <c r="J14" s="1">
        <v>43796</v>
      </c>
      <c r="K14" t="s">
        <v>65</v>
      </c>
      <c r="M14">
        <f t="shared" si="0"/>
        <v>1</v>
      </c>
      <c r="N14">
        <f t="shared" si="5"/>
        <v>25</v>
      </c>
      <c r="O14">
        <f t="shared" si="6"/>
        <v>5</v>
      </c>
      <c r="P14">
        <f t="shared" si="7"/>
        <v>13</v>
      </c>
      <c r="Q14" t="str">
        <f t="shared" si="8"/>
        <v>1_25_5_13</v>
      </c>
    </row>
    <row r="15" spans="1:20" x14ac:dyDescent="0.45">
      <c r="A15">
        <v>14</v>
      </c>
      <c r="B15" t="s">
        <v>54</v>
      </c>
      <c r="C15" t="s">
        <v>18</v>
      </c>
      <c r="D15" t="s">
        <v>11</v>
      </c>
      <c r="E15">
        <v>39</v>
      </c>
      <c r="F15">
        <v>5</v>
      </c>
      <c r="G15">
        <v>1</v>
      </c>
      <c r="H15">
        <v>25</v>
      </c>
      <c r="I15">
        <v>400</v>
      </c>
      <c r="J15" s="1">
        <v>43796</v>
      </c>
      <c r="K15" t="s">
        <v>66</v>
      </c>
      <c r="M15">
        <f t="shared" si="0"/>
        <v>1</v>
      </c>
      <c r="N15">
        <f t="shared" si="5"/>
        <v>25</v>
      </c>
      <c r="O15">
        <f t="shared" si="6"/>
        <v>5</v>
      </c>
      <c r="P15">
        <f t="shared" si="7"/>
        <v>14</v>
      </c>
      <c r="Q15" t="str">
        <f t="shared" si="8"/>
        <v>1_25_5_14</v>
      </c>
    </row>
    <row r="16" spans="1:20" x14ac:dyDescent="0.45">
      <c r="A16">
        <v>15</v>
      </c>
      <c r="B16" t="s">
        <v>55</v>
      </c>
      <c r="C16" t="s">
        <v>56</v>
      </c>
      <c r="D16" t="s">
        <v>19</v>
      </c>
      <c r="E16">
        <v>29</v>
      </c>
      <c r="F16">
        <v>5</v>
      </c>
      <c r="G16">
        <v>1</v>
      </c>
      <c r="H16">
        <v>25</v>
      </c>
      <c r="I16">
        <v>400</v>
      </c>
      <c r="J16" s="1">
        <v>43796</v>
      </c>
      <c r="K16" t="s">
        <v>69</v>
      </c>
      <c r="M16">
        <f t="shared" si="0"/>
        <v>1</v>
      </c>
      <c r="N16">
        <f t="shared" si="5"/>
        <v>25</v>
      </c>
      <c r="O16">
        <f t="shared" si="6"/>
        <v>5</v>
      </c>
      <c r="P16">
        <f t="shared" si="7"/>
        <v>15</v>
      </c>
      <c r="Q16" t="str">
        <f t="shared" si="8"/>
        <v>1_25_5_15</v>
      </c>
    </row>
    <row r="17" spans="1:17" x14ac:dyDescent="0.45">
      <c r="A17">
        <v>16</v>
      </c>
      <c r="B17" t="s">
        <v>57</v>
      </c>
      <c r="C17" t="s">
        <v>37</v>
      </c>
      <c r="D17" t="s">
        <v>19</v>
      </c>
      <c r="E17">
        <v>49</v>
      </c>
      <c r="F17">
        <v>5</v>
      </c>
      <c r="G17">
        <v>1</v>
      </c>
      <c r="H17">
        <v>25</v>
      </c>
      <c r="I17">
        <v>400</v>
      </c>
      <c r="J17" s="1">
        <v>43796</v>
      </c>
      <c r="K17" t="s">
        <v>72</v>
      </c>
      <c r="M17">
        <f t="shared" si="0"/>
        <v>1</v>
      </c>
      <c r="N17">
        <f t="shared" si="5"/>
        <v>25</v>
      </c>
      <c r="O17">
        <f t="shared" si="6"/>
        <v>5</v>
      </c>
      <c r="P17">
        <f t="shared" si="7"/>
        <v>16</v>
      </c>
      <c r="Q17" t="str">
        <f t="shared" si="8"/>
        <v>1_25_5_16</v>
      </c>
    </row>
    <row r="18" spans="1:17" x14ac:dyDescent="0.45">
      <c r="A18">
        <v>17</v>
      </c>
      <c r="B18" t="s">
        <v>58</v>
      </c>
      <c r="C18" t="s">
        <v>59</v>
      </c>
      <c r="D18" t="s">
        <v>11</v>
      </c>
      <c r="E18">
        <v>20</v>
      </c>
      <c r="F18">
        <v>5</v>
      </c>
      <c r="G18">
        <v>1</v>
      </c>
      <c r="H18">
        <v>25</v>
      </c>
      <c r="I18">
        <v>400</v>
      </c>
      <c r="J18" s="1">
        <v>43796</v>
      </c>
      <c r="K18" t="s">
        <v>71</v>
      </c>
      <c r="M18">
        <f t="shared" si="0"/>
        <v>1</v>
      </c>
      <c r="N18">
        <f t="shared" si="5"/>
        <v>25</v>
      </c>
      <c r="O18">
        <f t="shared" si="6"/>
        <v>5</v>
      </c>
      <c r="P18">
        <f t="shared" si="7"/>
        <v>17</v>
      </c>
      <c r="Q18" t="str">
        <f t="shared" si="8"/>
        <v>1_25_5_17</v>
      </c>
    </row>
    <row r="19" spans="1:17" x14ac:dyDescent="0.45">
      <c r="A19">
        <v>18</v>
      </c>
      <c r="B19" t="s">
        <v>60</v>
      </c>
      <c r="C19" t="s">
        <v>61</v>
      </c>
      <c r="D19" t="s">
        <v>11</v>
      </c>
      <c r="E19">
        <v>27</v>
      </c>
      <c r="F19">
        <v>5</v>
      </c>
      <c r="G19">
        <v>1</v>
      </c>
      <c r="H19">
        <v>25</v>
      </c>
      <c r="I19">
        <v>400</v>
      </c>
      <c r="J19" s="1">
        <v>43796</v>
      </c>
      <c r="K19" t="s">
        <v>70</v>
      </c>
      <c r="M19">
        <f t="shared" si="0"/>
        <v>1</v>
      </c>
      <c r="N19">
        <f t="shared" si="5"/>
        <v>25</v>
      </c>
      <c r="O19">
        <f t="shared" si="6"/>
        <v>5</v>
      </c>
      <c r="P19">
        <f t="shared" si="7"/>
        <v>18</v>
      </c>
      <c r="Q19" t="str">
        <f t="shared" si="8"/>
        <v>1_25_5_18</v>
      </c>
    </row>
    <row r="20" spans="1:17" x14ac:dyDescent="0.45">
      <c r="A20">
        <v>19</v>
      </c>
      <c r="B20" t="s">
        <v>67</v>
      </c>
      <c r="C20" t="s">
        <v>18</v>
      </c>
      <c r="D20" t="s">
        <v>19</v>
      </c>
      <c r="E20">
        <v>27</v>
      </c>
      <c r="F20">
        <v>5</v>
      </c>
      <c r="G20">
        <v>1</v>
      </c>
      <c r="H20">
        <v>25</v>
      </c>
      <c r="I20">
        <v>400</v>
      </c>
      <c r="J20" s="1">
        <v>43796</v>
      </c>
      <c r="K20" t="s">
        <v>68</v>
      </c>
      <c r="M20">
        <f t="shared" si="0"/>
        <v>1</v>
      </c>
      <c r="N20">
        <f t="shared" si="5"/>
        <v>25</v>
      </c>
      <c r="O20">
        <f t="shared" si="6"/>
        <v>5</v>
      </c>
      <c r="P20">
        <f t="shared" si="7"/>
        <v>19</v>
      </c>
      <c r="Q20" t="str">
        <f t="shared" si="8"/>
        <v>1_25_5_19</v>
      </c>
    </row>
    <row r="21" spans="1:17" x14ac:dyDescent="0.45">
      <c r="A21">
        <v>20</v>
      </c>
      <c r="B21" t="s">
        <v>73</v>
      </c>
      <c r="C21" t="s">
        <v>74</v>
      </c>
      <c r="D21" t="s">
        <v>19</v>
      </c>
      <c r="E21">
        <v>40</v>
      </c>
      <c r="F21">
        <v>5</v>
      </c>
      <c r="G21">
        <v>1</v>
      </c>
      <c r="H21">
        <v>25</v>
      </c>
      <c r="I21">
        <v>400</v>
      </c>
      <c r="J21" s="1">
        <v>43796</v>
      </c>
      <c r="K21" t="s">
        <v>79</v>
      </c>
      <c r="M21">
        <f t="shared" si="0"/>
        <v>1</v>
      </c>
      <c r="N21">
        <f t="shared" si="5"/>
        <v>25</v>
      </c>
      <c r="O21">
        <f t="shared" si="6"/>
        <v>5</v>
      </c>
      <c r="P21">
        <f t="shared" si="7"/>
        <v>20</v>
      </c>
      <c r="Q21" t="str">
        <f t="shared" si="8"/>
        <v>1_25_5_20</v>
      </c>
    </row>
    <row r="22" spans="1:17" x14ac:dyDescent="0.45">
      <c r="A22">
        <v>21</v>
      </c>
      <c r="B22" t="s">
        <v>75</v>
      </c>
      <c r="C22" t="s">
        <v>76</v>
      </c>
      <c r="D22" t="s">
        <v>19</v>
      </c>
      <c r="E22">
        <v>31</v>
      </c>
      <c r="F22">
        <v>5</v>
      </c>
      <c r="G22">
        <v>1</v>
      </c>
      <c r="H22">
        <v>25</v>
      </c>
      <c r="I22">
        <v>400</v>
      </c>
      <c r="J22" s="1">
        <v>43796</v>
      </c>
      <c r="K22" t="s">
        <v>80</v>
      </c>
      <c r="M22">
        <v>1</v>
      </c>
      <c r="N22">
        <f t="shared" si="5"/>
        <v>25</v>
      </c>
      <c r="O22">
        <f t="shared" si="6"/>
        <v>5</v>
      </c>
      <c r="P22">
        <f t="shared" si="7"/>
        <v>21</v>
      </c>
      <c r="Q22" t="str">
        <f t="shared" si="8"/>
        <v>1_25_5_21</v>
      </c>
    </row>
    <row r="23" spans="1:17" x14ac:dyDescent="0.45">
      <c r="A23">
        <v>22</v>
      </c>
      <c r="B23" t="s">
        <v>77</v>
      </c>
      <c r="C23" t="s">
        <v>37</v>
      </c>
      <c r="D23" t="s">
        <v>19</v>
      </c>
      <c r="E23">
        <v>28</v>
      </c>
      <c r="F23">
        <v>5</v>
      </c>
      <c r="G23">
        <v>1</v>
      </c>
      <c r="H23">
        <v>25</v>
      </c>
      <c r="I23">
        <v>400</v>
      </c>
      <c r="J23" s="1">
        <v>43796</v>
      </c>
      <c r="K23" t="s">
        <v>81</v>
      </c>
      <c r="M23">
        <v>1</v>
      </c>
      <c r="N23">
        <f t="shared" si="5"/>
        <v>25</v>
      </c>
      <c r="O23">
        <f t="shared" si="6"/>
        <v>5</v>
      </c>
      <c r="P23">
        <f t="shared" si="7"/>
        <v>22</v>
      </c>
      <c r="Q23" t="str">
        <f t="shared" si="8"/>
        <v>1_25_5_22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subject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andyh</dc:creator>
  <cp:lastModifiedBy>andyh</cp:lastModifiedBy>
  <dcterms:created xsi:type="dcterms:W3CDTF">2019-11-25T04:46:42Z</dcterms:created>
  <dcterms:modified xsi:type="dcterms:W3CDTF">2019-11-27T23:09:43Z</dcterms:modified>
</cp:coreProperties>
</file>